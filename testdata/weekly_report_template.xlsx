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64" windowHeight="0"/>
  </bookViews>
  <sheets>
    <sheet name="Еженедельный отчёт" sheetId="1" r:id="rId1"/>
    <sheet name="Продуктовые метрики" sheetId="2" r:id="rId2"/>
    <sheet name="Стадии и гестация" sheetId="3" r:id="rId3"/>
    <sheet name="Сводка по больницам" sheetId="4" r:id="rId4"/>
    <sheet name="Инструкция" sheetId="5" r:id="rId5"/>
  </sheets>
  <calcPr calcId="162913"/>
  <fileRecoveryPr repairLoad="1"/>
</workbook>
</file>

<file path=xl/calcChain.xml><?xml version="1.0" encoding="utf-8"?>
<calcChain xmlns="http://schemas.openxmlformats.org/spreadsheetml/2006/main">
  <c r="K12" i="4" l="1"/>
  <c r="J12" i="4"/>
  <c r="H12" i="4"/>
  <c r="G12" i="4"/>
  <c r="F12" i="4"/>
  <c r="E12" i="4"/>
  <c r="D12" i="4"/>
  <c r="C12" i="4"/>
  <c r="B12" i="4"/>
  <c r="H11" i="3"/>
  <c r="G11" i="3"/>
  <c r="F11" i="3"/>
  <c r="E11" i="3"/>
  <c r="D11" i="3"/>
  <c r="C11" i="3"/>
  <c r="B11" i="3"/>
</calcChain>
</file>

<file path=xl/sharedStrings.xml><?xml version="1.0" encoding="utf-8"?>
<sst xmlns="http://schemas.openxmlformats.org/spreadsheetml/2006/main" count="152" uniqueCount="127">
  <si>
    <t>№ п/п</t>
  </si>
  <si>
    <t>Дата</t>
  </si>
  <si>
    <t>Больница (пилот)</t>
  </si>
  <si>
    <t>ФИО врача</t>
  </si>
  <si>
    <t>ФИО пациента</t>
  </si>
  <si>
    <t>Срок гестации (недели)</t>
  </si>
  <si>
    <t>Вес при рождении (г)</t>
  </si>
  <si>
    <t>Форма РН</t>
  </si>
  <si>
    <t>Стадия РН</t>
  </si>
  <si>
    <t>Plus Disease</t>
  </si>
  <si>
    <t>Кислотно-основное состояние (pH)</t>
  </si>
  <si>
    <t>Диагноз врача</t>
  </si>
  <si>
    <t>Диагноз ИИ</t>
  </si>
  <si>
    <t>Совпадение (да/нет/сомнительно)</t>
  </si>
  <si>
    <t>Агрессивная форма (да/нет)</t>
  </si>
  <si>
    <t>Сомнительный кейс (да/нет)</t>
  </si>
  <si>
    <t>Примечания</t>
  </si>
  <si>
    <t>2026-06-22</t>
  </si>
  <si>
    <t>Астана ГКП №2</t>
  </si>
  <si>
    <t>Иванов И.И.</t>
  </si>
  <si>
    <t>Петрова А.М.</t>
  </si>
  <si>
    <t>Активная</t>
  </si>
  <si>
    <t>3</t>
  </si>
  <si>
    <t>Да</t>
  </si>
  <si>
    <t>7.25</t>
  </si>
  <si>
    <t>Стадия 3, Plus</t>
  </si>
  <si>
    <t>Нет</t>
  </si>
  <si>
    <t>Пациент на наблюдении</t>
  </si>
  <si>
    <t>АНКЕТА ОЦЕНКИ ПРОДУКТА Eye Eye AI (для врачей-пилотов)</t>
  </si>
  <si>
    <t>Дата заполнения: ___________    Больница: _________________________    ФИО врача: _________________________</t>
  </si>
  <si>
    <t>1. УДОБСТВО ИСПОЛЬЗОВАНИЯ</t>
  </si>
  <si>
    <t>№</t>
  </si>
  <si>
    <t>Вопрос</t>
  </si>
  <si>
    <t>Очень нравится (5)</t>
  </si>
  <si>
    <t>Нравится (4)</t>
  </si>
  <si>
    <t>Нейтрально (3)</t>
  </si>
  <si>
    <t>Не нравится (2)</t>
  </si>
  <si>
    <t>Очень не нравится (1)</t>
  </si>
  <si>
    <t>Комментарий</t>
  </si>
  <si>
    <t>Интерфейс понятен и удобен</t>
  </si>
  <si>
    <t>Скорость загрузки и анализа изображений</t>
  </si>
  <si>
    <t>Процесс загрузки изображений (drag-and-drop / API)</t>
  </si>
  <si>
    <t>Доступность через браузер (не нужна установка)</t>
  </si>
  <si>
    <t>Общее удовлетворение продуктом</t>
  </si>
  <si>
    <t>1. Что Вам НЕ НРАВИТСЯ в текущей версии? Что вызывает затруднения?</t>
  </si>
  <si>
    <t>2. Что бы Вы хотели УЛУЧШИТЬ или изменить?</t>
  </si>
  <si>
    <t>3. Какой функционал Вам НЕ ХВАТАЕТ для повседневной работы?</t>
  </si>
  <si>
    <t>4. Доверяете ли Вы диагнозу ИИ? В каких случаях — да/нет?</t>
  </si>
  <si>
    <t>5. Готовы ли Вы рекомендовать систему коллегам? (да/нет/почему)</t>
  </si>
  <si>
    <t>АГРЕГИРОВАННЫЕ ДАННЫЕ ПО СТАДИЯМ РН И ГЕСТАЦИИ (еженедельная сводка)</t>
  </si>
  <si>
    <t>Неделя с:</t>
  </si>
  <si>
    <t>__________</t>
  </si>
  <si>
    <t>по:</t>
  </si>
  <si>
    <t>Больница:</t>
  </si>
  <si>
    <t>____________________</t>
  </si>
  <si>
    <t>Кол-во случаев (врач)</t>
  </si>
  <si>
    <t>Кол-во случаев (ИИ)</t>
  </si>
  <si>
    <t>Совпадение</t>
  </si>
  <si>
    <t>Расхождение</t>
  </si>
  <si>
    <t>Сомнительные</t>
  </si>
  <si>
    <t>Plus Disease (да)</t>
  </si>
  <si>
    <t>Агрессивные формы</t>
  </si>
  <si>
    <t>Средний срок гестации</t>
  </si>
  <si>
    <t>Средний вес (г)</t>
  </si>
  <si>
    <t>Средний pH</t>
  </si>
  <si>
    <t>Нет РН</t>
  </si>
  <si>
    <t>—</t>
  </si>
  <si>
    <t>Стадия 1</t>
  </si>
  <si>
    <t>Стадия 2</t>
  </si>
  <si>
    <t>Стадия 3</t>
  </si>
  <si>
    <t>Стадия 4</t>
  </si>
  <si>
    <t>Стадия 5</t>
  </si>
  <si>
    <t>ИТОГО</t>
  </si>
  <si>
    <t>РАСПРЕДЕЛЕНИЕ ПО СРОКУ ГЕСТАЦИИ</t>
  </si>
  <si>
    <t>Срок гестации</t>
  </si>
  <si>
    <t>Всего пациентов</t>
  </si>
  <si>
    <t>Агрессивные</t>
  </si>
  <si>
    <t>Доля РН (%)</t>
  </si>
  <si>
    <t>&lt;28 недель</t>
  </si>
  <si>
    <t>28–30 недель</t>
  </si>
  <si>
    <t>30–32 недели</t>
  </si>
  <si>
    <t>32–34 недели</t>
  </si>
  <si>
    <t>34–36 недель</t>
  </si>
  <si>
    <t>&gt;36 недель</t>
  </si>
  <si>
    <t>ЕЖЕНЕДЕЛЬНАЯ СВОДКА ПО ВСЕМ ПИЛОТНЫМ БОЛЬНИЦАМ</t>
  </si>
  <si>
    <t>Больница</t>
  </si>
  <si>
    <t>Обследовано ИИ</t>
  </si>
  <si>
    <t>Выявлено РН</t>
  </si>
  <si>
    <t>Стадии 1–2</t>
  </si>
  <si>
    <t>Стадии 3–5</t>
  </si>
  <si>
    <t>Совпадение врач-ИИ (%)</t>
  </si>
  <si>
    <t>Сомнительные кейсы</t>
  </si>
  <si>
    <t>Анкет заполнено</t>
  </si>
  <si>
    <t>Астана ГКП на ПХВ «Многопрофильная больница №2»</t>
  </si>
  <si>
    <t>Алматы ГКП «Городской перинатальный центр»</t>
  </si>
  <si>
    <t>ИНСТРУКЦИЯ ПО ЗАПОЛНЕНИЮ</t>
  </si>
  <si>
    <t>Лист 1: Еженедельный отчёт</t>
  </si>
  <si>
    <t>Заполняется для КАЖДОГО пациента, прошедшего скрининг.</t>
  </si>
  <si>
    <t>• Срок гестации — указывать в неделях (например, 28, 30+3).</t>
  </si>
  <si>
    <t>• Форма РН — выбрать из выпадающего списка.</t>
  </si>
  <si>
    <t>• Стадия РН — 1–5 или 'Нет РН'.</t>
  </si>
  <si>
    <t>• Plus Disease — 'Да' если есть, 'Нет' если отсутствует, 'Не определено'.</t>
  </si>
  <si>
    <t>• Кислотно-основное состояние — pH крови пуповины (если есть данные).</t>
  </si>
  <si>
    <t>• Диагноз врача и ИИ — описать текстом, затем отметить совпадение.</t>
  </si>
  <si>
    <t>• Агрессивная форма — 'Да' для стадий 3–5 с Plus Disease или быстрым прогрессированием.</t>
  </si>
  <si>
    <t>• Сомнительный кейс — 'Да' если врач не уверен в диагнозе или есть расхождение с ИИ.</t>
  </si>
  <si>
    <t>Лист 2: Продуктовые метрики</t>
  </si>
  <si>
    <t>Заполняется ОДИН РАЗ в неделю каждым врачом-участником пилота.</t>
  </si>
  <si>
    <t>• Раздел 1: оценка по 5-балльной шкале (1 — очень не нравится, 5 — очень нравится).</t>
  </si>
  <si>
    <t>• Раздел 2: отметить используемые функции и их важность.</t>
  </si>
  <si>
    <t>• Раздел 3: открытые вопросы — писать развёрнуто, это главный источник обратной связи.</t>
  </si>
  <si>
    <t>Лист 3: Стадии и гестация</t>
  </si>
  <si>
    <t>Автоматически агрегируется из Листа 1 (можно заполнять вручную).</t>
  </si>
  <si>
    <t>• Сводка по стадиям — количество случаев каждой стадии за неделю.</t>
  </si>
  <si>
    <t>• Распределение по гестации — корреляция срока гестации со стадией РН.</t>
  </si>
  <si>
    <t>Лист 4: Сводка по больницам</t>
  </si>
  <si>
    <t>Общая сводка по всем 6 пилотным площадкам за неделю.</t>
  </si>
  <si>
    <t>• Заполняется координатором пилота на основе данных из Листа 1.</t>
  </si>
  <si>
    <t>Контакты</t>
  </si>
  <si>
    <t>Координатор пилота: _________________ / Тел: _________________ / Email: _________________</t>
  </si>
  <si>
    <t>Техническая поддержка: _________________ / Тел: _________________</t>
  </si>
  <si>
    <t>2. ОТКРЫТЫЕ ВОПРОСЫ</t>
  </si>
  <si>
    <t>Алматы ГКП на ПХВ "Центр перинатальной и детской кардиохирургии"</t>
  </si>
  <si>
    <t>ГКП на ПХВ "Областной перинатальный центр" Управления здравоохранения Мангистауской области акимата Мангистауской области</t>
  </si>
  <si>
    <t>ROP.kz, офтальмологический центр г.Алматы</t>
  </si>
  <si>
    <t>КГП на ПХВ "Павлодарский областной перинатальный центр № 1" управления здравоохранения Павлодарской области, акимата Павлодарск</t>
  </si>
  <si>
    <t>Костанайский перинатальный центр при областной многопрофильной больнице.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</si>
</sst>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1B4F72"/>
      <name val="Calibri"/>
    </font>
    <font>
      <sz val="10"/>
      <name val="Calibri"/>
    </font>
    <font>
      <b/>
      <sz val="11"/>
      <name val="Calibri"/>
    </font>
    <font>
      <b/>
      <sz val="9"/>
      <color rgb="FFFFFFFF"/>
      <name val="Calibri"/>
    </font>
    <font>
      <b/>
      <sz val="10"/>
      <name val="Calibri"/>
    </font>
    <font>
      <b/>
      <sz val="10"/>
      <color rgb="FF1B4F7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5DBDB"/>
        <bgColor rgb="FFD5DBDB"/>
      </patternFill>
    </fill>
    <fill>
      <patternFill patternType="solid">
        <fgColor rgb="FFF8F9F9"/>
        <bgColor rgb="FFF8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4" fillId="3" borderId="0" xfId="0" applyFont="1" applyFill="1"/>
    <xf numFmtId="0" fontId="0" fillId="0" borderId="0" xfId="0"/>
    <xf numFmtId="0" fontId="0" fillId="4" borderId="0" xfId="0" applyFill="1"/>
    <xf numFmtId="0" fontId="6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2" customWidth="1"/>
    <col min="3" max="3" width="20" customWidth="1"/>
    <col min="4" max="5" width="18" customWidth="1"/>
    <col min="6" max="6" width="14" customWidth="1"/>
    <col min="7" max="7" width="16" customWidth="1"/>
    <col min="8" max="8" width="14" customWidth="1"/>
    <col min="9" max="10" width="12" customWidth="1"/>
    <col min="11" max="11" width="18" customWidth="1"/>
    <col min="12" max="13" width="16" customWidth="1"/>
    <col min="14" max="14" width="20" customWidth="1"/>
    <col min="15" max="15" width="16" customWidth="1"/>
    <col min="16" max="16" width="18" customWidth="1"/>
    <col min="17" max="17" width="20" customWidth="1"/>
  </cols>
  <sheetData>
    <row r="1" spans="1:17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5.05" customHeight="1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28</v>
      </c>
      <c r="G2">
        <v>1200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23</v>
      </c>
      <c r="O2" t="s">
        <v>23</v>
      </c>
      <c r="P2" t="s">
        <v>26</v>
      </c>
      <c r="Q2" t="s">
        <v>27</v>
      </c>
    </row>
    <row r="3" spans="1:17" ht="25.05" customHeight="1" x14ac:dyDescent="0.3"/>
    <row r="4" spans="1:17" ht="25.05" customHeight="1" x14ac:dyDescent="0.3"/>
    <row r="5" spans="1:17" ht="25.05" customHeight="1" x14ac:dyDescent="0.3"/>
    <row r="6" spans="1:17" ht="25.05" customHeight="1" x14ac:dyDescent="0.3"/>
    <row r="7" spans="1:17" ht="25.05" customHeight="1" x14ac:dyDescent="0.3"/>
    <row r="8" spans="1:17" ht="25.05" customHeight="1" x14ac:dyDescent="0.3"/>
    <row r="9" spans="1:17" ht="25.05" customHeight="1" x14ac:dyDescent="0.3"/>
    <row r="10" spans="1:17" ht="25.05" customHeight="1" x14ac:dyDescent="0.3"/>
    <row r="11" spans="1:17" ht="25.05" customHeight="1" x14ac:dyDescent="0.3"/>
    <row r="12" spans="1:17" ht="25.05" customHeight="1" x14ac:dyDescent="0.3"/>
    <row r="13" spans="1:17" ht="25.05" customHeight="1" x14ac:dyDescent="0.3"/>
    <row r="14" spans="1:17" ht="25.05" customHeight="1" x14ac:dyDescent="0.3"/>
    <row r="15" spans="1:17" ht="25.05" customHeight="1" x14ac:dyDescent="0.3"/>
    <row r="16" spans="1:17" ht="25.05" customHeight="1" x14ac:dyDescent="0.3"/>
    <row r="17" ht="25.05" customHeight="1" x14ac:dyDescent="0.3"/>
    <row r="18" ht="25.05" customHeight="1" x14ac:dyDescent="0.3"/>
    <row r="19" ht="25.05" customHeight="1" x14ac:dyDescent="0.3"/>
    <row r="20" ht="25.05" customHeight="1" x14ac:dyDescent="0.3"/>
    <row r="21" ht="25.05" customHeight="1" x14ac:dyDescent="0.3"/>
    <row r="22" ht="25.05" customHeight="1" x14ac:dyDescent="0.3"/>
    <row r="23" ht="25.05" customHeight="1" x14ac:dyDescent="0.3"/>
    <row r="24" ht="25.05" customHeight="1" x14ac:dyDescent="0.3"/>
    <row r="25" ht="25.05" customHeight="1" x14ac:dyDescent="0.3"/>
    <row r="26" ht="25.05" customHeight="1" x14ac:dyDescent="0.3"/>
    <row r="27" ht="25.05" customHeight="1" x14ac:dyDescent="0.3"/>
    <row r="28" ht="25.05" customHeight="1" x14ac:dyDescent="0.3"/>
    <row r="29" ht="25.05" customHeight="1" x14ac:dyDescent="0.3"/>
    <row r="30" ht="25.05" customHeight="1" x14ac:dyDescent="0.3"/>
    <row r="31" ht="25.05" customHeight="1" x14ac:dyDescent="0.3"/>
    <row r="32" ht="25.05" customHeight="1" x14ac:dyDescent="0.3"/>
    <row r="33" ht="25.05" customHeight="1" x14ac:dyDescent="0.3"/>
    <row r="34" ht="25.05" customHeight="1" x14ac:dyDescent="0.3"/>
    <row r="35" ht="25.05" customHeight="1" x14ac:dyDescent="0.3"/>
    <row r="36" ht="25.05" customHeight="1" x14ac:dyDescent="0.3"/>
    <row r="37" ht="25.05" customHeight="1" x14ac:dyDescent="0.3"/>
    <row r="38" ht="25.05" customHeight="1" x14ac:dyDescent="0.3"/>
    <row r="39" ht="25.05" customHeight="1" x14ac:dyDescent="0.3"/>
    <row r="40" ht="25.05" customHeight="1" x14ac:dyDescent="0.3"/>
    <row r="41" ht="25.05" customHeight="1" x14ac:dyDescent="0.3"/>
    <row r="42" ht="25.05" customHeight="1" x14ac:dyDescent="0.3"/>
    <row r="43" ht="25.05" customHeight="1" x14ac:dyDescent="0.3"/>
    <row r="44" ht="25.05" customHeight="1" x14ac:dyDescent="0.3"/>
    <row r="45" ht="25.05" customHeight="1" x14ac:dyDescent="0.3"/>
    <row r="46" ht="25.05" customHeight="1" x14ac:dyDescent="0.3"/>
    <row r="47" ht="25.05" customHeight="1" x14ac:dyDescent="0.3"/>
    <row r="48" ht="25.05" customHeight="1" x14ac:dyDescent="0.3"/>
    <row r="49" ht="25.05" customHeight="1" x14ac:dyDescent="0.3"/>
    <row r="50" ht="25.05" customHeight="1" x14ac:dyDescent="0.3"/>
    <row r="51" ht="25.05" customHeight="1" x14ac:dyDescent="0.3"/>
    <row r="52" ht="25.05" customHeight="1" x14ac:dyDescent="0.3"/>
    <row r="53" ht="25.05" customHeight="1" x14ac:dyDescent="0.3"/>
    <row r="54" ht="25.05" customHeight="1" x14ac:dyDescent="0.3"/>
    <row r="55" ht="25.05" customHeight="1" x14ac:dyDescent="0.3"/>
    <row r="56" ht="25.05" customHeight="1" x14ac:dyDescent="0.3"/>
    <row r="57" ht="25.05" customHeight="1" x14ac:dyDescent="0.3"/>
    <row r="58" ht="25.05" customHeight="1" x14ac:dyDescent="0.3"/>
    <row r="59" ht="25.05" customHeight="1" x14ac:dyDescent="0.3"/>
    <row r="60" ht="25.05" customHeight="1" x14ac:dyDescent="0.3"/>
    <row r="61" ht="25.05" customHeight="1" x14ac:dyDescent="0.3"/>
    <row r="62" ht="25.05" customHeight="1" x14ac:dyDescent="0.3"/>
    <row r="63" ht="25.05" customHeight="1" x14ac:dyDescent="0.3"/>
    <row r="64" ht="25.05" customHeight="1" x14ac:dyDescent="0.3"/>
    <row r="65" ht="25.05" customHeight="1" x14ac:dyDescent="0.3"/>
    <row r="66" ht="25.05" customHeight="1" x14ac:dyDescent="0.3"/>
    <row r="67" ht="25.05" customHeight="1" x14ac:dyDescent="0.3"/>
    <row r="68" ht="25.05" customHeight="1" x14ac:dyDescent="0.3"/>
    <row r="69" ht="25.05" customHeight="1" x14ac:dyDescent="0.3"/>
    <row r="70" ht="25.05" customHeight="1" x14ac:dyDescent="0.3"/>
    <row r="71" ht="25.05" customHeight="1" x14ac:dyDescent="0.3"/>
    <row r="72" ht="25.05" customHeight="1" x14ac:dyDescent="0.3"/>
    <row r="73" ht="25.05" customHeight="1" x14ac:dyDescent="0.3"/>
    <row r="74" ht="25.05" customHeight="1" x14ac:dyDescent="0.3"/>
    <row r="75" ht="25.05" customHeight="1" x14ac:dyDescent="0.3"/>
    <row r="76" ht="25.05" customHeight="1" x14ac:dyDescent="0.3"/>
    <row r="77" ht="25.05" customHeight="1" x14ac:dyDescent="0.3"/>
    <row r="78" ht="25.05" customHeight="1" x14ac:dyDescent="0.3"/>
    <row r="79" ht="25.05" customHeight="1" x14ac:dyDescent="0.3"/>
    <row r="80" ht="25.05" customHeight="1" x14ac:dyDescent="0.3"/>
    <row r="81" ht="25.05" customHeight="1" x14ac:dyDescent="0.3"/>
    <row r="82" ht="25.05" customHeight="1" x14ac:dyDescent="0.3"/>
    <row r="83" ht="25.05" customHeight="1" x14ac:dyDescent="0.3"/>
    <row r="84" ht="25.05" customHeight="1" x14ac:dyDescent="0.3"/>
    <row r="85" ht="25.05" customHeight="1" x14ac:dyDescent="0.3"/>
    <row r="86" ht="25.05" customHeight="1" x14ac:dyDescent="0.3"/>
    <row r="87" ht="25.05" customHeight="1" x14ac:dyDescent="0.3"/>
    <row r="88" ht="25.05" customHeight="1" x14ac:dyDescent="0.3"/>
    <row r="89" ht="25.05" customHeight="1" x14ac:dyDescent="0.3"/>
    <row r="90" ht="25.05" customHeight="1" x14ac:dyDescent="0.3"/>
    <row r="91" ht="25.05" customHeight="1" x14ac:dyDescent="0.3"/>
    <row r="92" ht="25.05" customHeight="1" x14ac:dyDescent="0.3"/>
    <row r="93" ht="25.05" customHeight="1" x14ac:dyDescent="0.3"/>
    <row r="94" ht="25.05" customHeight="1" x14ac:dyDescent="0.3"/>
    <row r="95" ht="25.05" customHeight="1" x14ac:dyDescent="0.3"/>
    <row r="96" ht="25.05" customHeight="1" x14ac:dyDescent="0.3"/>
    <row r="97" ht="25.05" customHeight="1" x14ac:dyDescent="0.3"/>
    <row r="98" ht="25.05" customHeight="1" x14ac:dyDescent="0.3"/>
    <row r="99" ht="25.05" customHeight="1" x14ac:dyDescent="0.3"/>
  </sheetData>
  <dataValidations count="7">
    <dataValidation type="list" allowBlank="1" errorTitle="Ошибка" error="Выберите больницу из списка" sqref="C2:C1000">
      <formula1>"Астана ГКП №2,Алматы ГПЦ,Павлодар ОПЦ,Семей ОПЦ,Шымкент ГПЦ,Атырау ОПЦ"</formula1>
    </dataValidation>
    <dataValidation type="list" allowBlank="1" sqref="H2:H1000">
      <formula1>"Активная,Неактивная,Регрессирующая,Пролиферативная"</formula1>
    </dataValidation>
    <dataValidation type="list" allowBlank="1" sqref="I2:I1000">
      <formula1>"1,2,3,4,5,Нет РН"</formula1>
    </dataValidation>
    <dataValidation type="list" allowBlank="1" sqref="J2:J1000">
      <formula1>"Да,Нет,Не определено"</formula1>
    </dataValidation>
    <dataValidation type="list" allowBlank="1" sqref="N2:N1000">
      <formula1>"Да,Нет,Сомнительно"</formula1>
    </dataValidation>
    <dataValidation type="list" allowBlank="1" sqref="O2:O1000">
      <formula1>"Да,Нет"</formula1>
    </dataValidation>
    <dataValidation type="list" allowBlank="1" sqref="P2:P1000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23" sqref="A23:H23"/>
    </sheetView>
  </sheetViews>
  <sheetFormatPr defaultRowHeight="14.4" x14ac:dyDescent="0.3"/>
  <cols>
    <col min="1" max="1" width="6" customWidth="1"/>
    <col min="2" max="2" width="54.44140625" customWidth="1"/>
    <col min="3" max="7" width="12" customWidth="1"/>
    <col min="8" max="8" width="30" customWidth="1"/>
  </cols>
  <sheetData>
    <row r="1" spans="1:8" ht="30" customHeight="1" x14ac:dyDescent="0.3">
      <c r="A1" s="10" t="s">
        <v>28</v>
      </c>
      <c r="B1" s="6"/>
      <c r="C1" s="6"/>
      <c r="D1" s="6"/>
      <c r="E1" s="6"/>
      <c r="F1" s="6"/>
      <c r="G1" s="6"/>
      <c r="H1" s="6"/>
    </row>
    <row r="2" spans="1:8" ht="25.05" customHeight="1" x14ac:dyDescent="0.3">
      <c r="A2" s="9" t="s">
        <v>29</v>
      </c>
      <c r="B2" s="6"/>
      <c r="C2" s="6"/>
      <c r="D2" s="6"/>
      <c r="E2" s="6"/>
      <c r="F2" s="6"/>
      <c r="G2" s="6"/>
      <c r="H2" s="6"/>
    </row>
    <row r="4" spans="1:8" ht="22.05" customHeight="1" x14ac:dyDescent="0.3">
      <c r="A4" s="5" t="s">
        <v>30</v>
      </c>
      <c r="B4" s="6"/>
      <c r="C4" s="6"/>
      <c r="D4" s="6"/>
      <c r="E4" s="6"/>
      <c r="F4" s="6"/>
      <c r="G4" s="6"/>
      <c r="H4" s="6"/>
    </row>
    <row r="5" spans="1:8" ht="24" x14ac:dyDescent="0.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spans="1:8" x14ac:dyDescent="0.3">
      <c r="A6">
        <v>1</v>
      </c>
      <c r="B6" t="s">
        <v>39</v>
      </c>
    </row>
    <row r="7" spans="1:8" x14ac:dyDescent="0.3">
      <c r="A7">
        <v>2</v>
      </c>
      <c r="B7" t="s">
        <v>40</v>
      </c>
    </row>
    <row r="8" spans="1:8" x14ac:dyDescent="0.3">
      <c r="A8">
        <v>3</v>
      </c>
      <c r="B8" t="s">
        <v>41</v>
      </c>
    </row>
    <row r="9" spans="1:8" x14ac:dyDescent="0.3">
      <c r="A9">
        <v>4</v>
      </c>
      <c r="B9" t="s">
        <v>42</v>
      </c>
    </row>
    <row r="10" spans="1:8" x14ac:dyDescent="0.3">
      <c r="A10">
        <v>5</v>
      </c>
      <c r="B10" t="s">
        <v>43</v>
      </c>
    </row>
    <row r="13" spans="1:8" ht="22.05" customHeight="1" x14ac:dyDescent="0.3">
      <c r="A13" s="5" t="s">
        <v>121</v>
      </c>
      <c r="B13" s="6"/>
      <c r="C13" s="6"/>
      <c r="D13" s="6"/>
      <c r="E13" s="6"/>
      <c r="F13" s="6"/>
      <c r="G13" s="6"/>
      <c r="H13" s="6"/>
    </row>
    <row r="14" spans="1:8" ht="19.95" customHeight="1" x14ac:dyDescent="0.3">
      <c r="A14" s="8" t="s">
        <v>44</v>
      </c>
      <c r="B14" s="6"/>
      <c r="C14" s="6"/>
      <c r="D14" s="6"/>
      <c r="E14" s="6"/>
      <c r="F14" s="6"/>
      <c r="G14" s="6"/>
      <c r="H14" s="6"/>
    </row>
    <row r="15" spans="1:8" ht="40.049999999999997" customHeight="1" x14ac:dyDescent="0.3">
      <c r="A15" s="7"/>
      <c r="B15" s="6"/>
      <c r="C15" s="6"/>
      <c r="D15" s="6"/>
      <c r="E15" s="6"/>
      <c r="F15" s="6"/>
      <c r="G15" s="6"/>
      <c r="H15" s="6"/>
    </row>
    <row r="16" spans="1:8" ht="19.95" customHeight="1" x14ac:dyDescent="0.3">
      <c r="A16" s="8" t="s">
        <v>45</v>
      </c>
      <c r="B16" s="6"/>
      <c r="C16" s="6"/>
      <c r="D16" s="6"/>
      <c r="E16" s="6"/>
      <c r="F16" s="6"/>
      <c r="G16" s="6"/>
      <c r="H16" s="6"/>
    </row>
    <row r="17" spans="1:8" ht="40.049999999999997" customHeight="1" x14ac:dyDescent="0.3">
      <c r="A17" s="7"/>
      <c r="B17" s="6"/>
      <c r="C17" s="6"/>
      <c r="D17" s="6"/>
      <c r="E17" s="6"/>
      <c r="F17" s="6"/>
      <c r="G17" s="6"/>
      <c r="H17" s="6"/>
    </row>
    <row r="18" spans="1:8" ht="19.95" customHeight="1" x14ac:dyDescent="0.3">
      <c r="A18" s="8" t="s">
        <v>46</v>
      </c>
      <c r="B18" s="6"/>
      <c r="C18" s="6"/>
      <c r="D18" s="6"/>
      <c r="E18" s="6"/>
      <c r="F18" s="6"/>
      <c r="G18" s="6"/>
      <c r="H18" s="6"/>
    </row>
    <row r="19" spans="1:8" ht="40.049999999999997" customHeight="1" x14ac:dyDescent="0.3">
      <c r="A19" s="7"/>
      <c r="B19" s="6"/>
      <c r="C19" s="6"/>
      <c r="D19" s="6"/>
      <c r="E19" s="6"/>
      <c r="F19" s="6"/>
      <c r="G19" s="6"/>
      <c r="H19" s="6"/>
    </row>
    <row r="20" spans="1:8" ht="19.95" customHeight="1" x14ac:dyDescent="0.3">
      <c r="A20" s="8" t="s">
        <v>47</v>
      </c>
      <c r="B20" s="6"/>
      <c r="C20" s="6"/>
      <c r="D20" s="6"/>
      <c r="E20" s="6"/>
      <c r="F20" s="6"/>
      <c r="G20" s="6"/>
      <c r="H20" s="6"/>
    </row>
    <row r="21" spans="1:8" ht="40.049999999999997" customHeight="1" x14ac:dyDescent="0.3">
      <c r="A21" s="7"/>
      <c r="B21" s="6"/>
      <c r="C21" s="6"/>
      <c r="D21" s="6"/>
      <c r="E21" s="6"/>
      <c r="F21" s="6"/>
      <c r="G21" s="6"/>
      <c r="H21" s="6"/>
    </row>
    <row r="22" spans="1:8" ht="19.95" customHeight="1" x14ac:dyDescent="0.3">
      <c r="A22" s="8" t="s">
        <v>48</v>
      </c>
      <c r="B22" s="6"/>
      <c r="C22" s="6"/>
      <c r="D22" s="6"/>
      <c r="E22" s="6"/>
      <c r="F22" s="6"/>
      <c r="G22" s="6"/>
      <c r="H22" s="6"/>
    </row>
    <row r="23" spans="1:8" ht="40.049999999999997" customHeight="1" x14ac:dyDescent="0.3">
      <c r="A23" s="7"/>
      <c r="B23" s="6"/>
      <c r="C23" s="6"/>
      <c r="D23" s="6"/>
      <c r="E23" s="6"/>
      <c r="F23" s="6"/>
      <c r="G23" s="6"/>
      <c r="H23" s="6"/>
    </row>
  </sheetData>
  <mergeCells count="14">
    <mergeCell ref="A1:H1"/>
    <mergeCell ref="A22:H22"/>
    <mergeCell ref="A17:H17"/>
    <mergeCell ref="A16:H16"/>
    <mergeCell ref="A19:H19"/>
    <mergeCell ref="A23:H23"/>
    <mergeCell ref="A2:H2"/>
    <mergeCell ref="A13:H13"/>
    <mergeCell ref="A18:H18"/>
    <mergeCell ref="A21:H21"/>
    <mergeCell ref="A4:H4"/>
    <mergeCell ref="A15:H15"/>
    <mergeCell ref="A14:H14"/>
    <mergeCell ref="A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sqref="A1:L1"/>
    </sheetView>
  </sheetViews>
  <sheetFormatPr defaultRowHeight="14.4" x14ac:dyDescent="0.3"/>
  <cols>
    <col min="1" max="1" width="16" customWidth="1"/>
    <col min="2" max="12" width="14" customWidth="1"/>
  </cols>
  <sheetData>
    <row r="1" spans="1:12" ht="30" customHeight="1" x14ac:dyDescent="0.3">
      <c r="A1" s="10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t="s">
        <v>50</v>
      </c>
      <c r="B2" t="s">
        <v>51</v>
      </c>
      <c r="D2" t="s">
        <v>52</v>
      </c>
      <c r="E2" t="s">
        <v>51</v>
      </c>
      <c r="G2" t="s">
        <v>53</v>
      </c>
      <c r="H2" t="s">
        <v>54</v>
      </c>
    </row>
    <row r="4" spans="1:12" ht="27.6" x14ac:dyDescent="0.3">
      <c r="A4" s="1" t="s">
        <v>8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16</v>
      </c>
    </row>
    <row r="5" spans="1:12" x14ac:dyDescent="0.3">
      <c r="A5" t="s">
        <v>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66</v>
      </c>
      <c r="J5" t="s">
        <v>66</v>
      </c>
      <c r="K5" t="s">
        <v>66</v>
      </c>
    </row>
    <row r="6" spans="1:12" x14ac:dyDescent="0.3">
      <c r="A6" t="s">
        <v>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2" x14ac:dyDescent="0.3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2" x14ac:dyDescent="0.3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2" x14ac:dyDescent="0.3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2" x14ac:dyDescent="0.3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2" x14ac:dyDescent="0.3">
      <c r="A11" t="s">
        <v>72</v>
      </c>
      <c r="B11">
        <f t="shared" ref="B11:H11" si="0">SUM(B5:B10)</f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</row>
    <row r="14" spans="1:12" ht="22.05" customHeight="1" x14ac:dyDescent="0.3">
      <c r="A14" s="5" t="s">
        <v>73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">
      <c r="A15" s="3" t="s">
        <v>74</v>
      </c>
      <c r="B15" s="3" t="s">
        <v>75</v>
      </c>
      <c r="C15" s="3" t="s">
        <v>65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71</v>
      </c>
      <c r="I15" s="3" t="s">
        <v>9</v>
      </c>
      <c r="J15" s="3" t="s">
        <v>76</v>
      </c>
      <c r="K15" s="3" t="s">
        <v>64</v>
      </c>
      <c r="L15" s="3" t="s">
        <v>77</v>
      </c>
    </row>
    <row r="16" spans="1:12" x14ac:dyDescent="0.3">
      <c r="A16" t="s">
        <v>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t="s">
        <v>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</sheetData>
  <mergeCells count="2">
    <mergeCell ref="A14:L14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16" sqref="A16"/>
    </sheetView>
  </sheetViews>
  <sheetFormatPr defaultRowHeight="14.4" x14ac:dyDescent="0.3"/>
  <cols>
    <col min="1" max="1" width="67.44140625" customWidth="1"/>
    <col min="2" max="11" width="16" customWidth="1"/>
  </cols>
  <sheetData>
    <row r="1" spans="1:11" ht="30" customHeight="1" x14ac:dyDescent="0.3">
      <c r="A1" s="10" t="s">
        <v>84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t="s">
        <v>50</v>
      </c>
      <c r="B2" t="s">
        <v>51</v>
      </c>
      <c r="D2" t="s">
        <v>52</v>
      </c>
      <c r="E2" t="s">
        <v>51</v>
      </c>
    </row>
    <row r="4" spans="1:11" ht="24" x14ac:dyDescent="0.3">
      <c r="A4" s="3" t="s">
        <v>85</v>
      </c>
      <c r="B4" s="3" t="s">
        <v>75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</v>
      </c>
      <c r="H4" s="3" t="s">
        <v>61</v>
      </c>
      <c r="I4" s="3" t="s">
        <v>90</v>
      </c>
      <c r="J4" s="3" t="s">
        <v>91</v>
      </c>
      <c r="K4" s="3" t="s">
        <v>92</v>
      </c>
    </row>
    <row r="5" spans="1:11" x14ac:dyDescent="0.3">
      <c r="A5" s="12" t="s">
        <v>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</row>
    <row r="6" spans="1:11" x14ac:dyDescent="0.3">
      <c r="A6" s="12" t="s">
        <v>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</row>
    <row r="7" spans="1:11" x14ac:dyDescent="0.3">
      <c r="A7" s="12" t="s">
        <v>122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</row>
    <row r="8" spans="1:11" ht="43.2" x14ac:dyDescent="0.3">
      <c r="A8" s="12" t="s">
        <v>123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K8">
        <v>0</v>
      </c>
    </row>
    <row r="9" spans="1:11" x14ac:dyDescent="0.3">
      <c r="A9" t="s">
        <v>124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K9">
        <v>0</v>
      </c>
    </row>
    <row r="10" spans="1:11" ht="43.2" x14ac:dyDescent="0.3">
      <c r="A10" s="12" t="s">
        <v>125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>
        <v>0</v>
      </c>
      <c r="K10">
        <v>0</v>
      </c>
    </row>
    <row r="11" spans="1:11" ht="28.8" x14ac:dyDescent="0.3">
      <c r="A11" s="12" t="s">
        <v>126</v>
      </c>
    </row>
    <row r="12" spans="1:11" x14ac:dyDescent="0.3">
      <c r="A12" t="s">
        <v>72</v>
      </c>
      <c r="B12">
        <f t="shared" ref="B12:H12" si="0">SUM(B5:B10)</f>
        <v>0</v>
      </c>
      <c r="C12">
        <f t="shared" si="0"/>
        <v>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J12">
        <f>SUM(J5:J10)</f>
        <v>0</v>
      </c>
      <c r="K12">
        <f>SUM(K5:K10)</f>
        <v>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60" customWidth="1"/>
  </cols>
  <sheetData>
    <row r="1" spans="1:6" ht="18" x14ac:dyDescent="0.3">
      <c r="A1" s="10" t="s">
        <v>95</v>
      </c>
      <c r="B1" s="6"/>
      <c r="C1" s="6"/>
      <c r="D1" s="6"/>
      <c r="E1" s="6"/>
      <c r="F1" s="6"/>
    </row>
    <row r="2" spans="1:6" ht="10.050000000000001" customHeight="1" x14ac:dyDescent="0.3">
      <c r="A2" s="2"/>
      <c r="B2" s="11"/>
      <c r="C2" s="6"/>
      <c r="D2" s="6"/>
      <c r="E2" s="6"/>
      <c r="F2" s="6"/>
    </row>
    <row r="3" spans="1:6" ht="18" customHeight="1" x14ac:dyDescent="0.3">
      <c r="A3" s="4" t="s">
        <v>96</v>
      </c>
      <c r="B3" s="11" t="s">
        <v>97</v>
      </c>
      <c r="C3" s="6"/>
      <c r="D3" s="6"/>
      <c r="E3" s="6"/>
      <c r="F3" s="6"/>
    </row>
    <row r="4" spans="1:6" ht="18" customHeight="1" x14ac:dyDescent="0.3">
      <c r="A4" s="2"/>
      <c r="B4" s="11" t="s">
        <v>98</v>
      </c>
      <c r="C4" s="6"/>
      <c r="D4" s="6"/>
      <c r="E4" s="6"/>
      <c r="F4" s="6"/>
    </row>
    <row r="5" spans="1:6" ht="18" customHeight="1" x14ac:dyDescent="0.3">
      <c r="A5" s="2"/>
      <c r="B5" s="11" t="s">
        <v>99</v>
      </c>
      <c r="C5" s="6"/>
      <c r="D5" s="6"/>
      <c r="E5" s="6"/>
      <c r="F5" s="6"/>
    </row>
    <row r="6" spans="1:6" ht="18" customHeight="1" x14ac:dyDescent="0.3">
      <c r="A6" s="2"/>
      <c r="B6" s="11" t="s">
        <v>100</v>
      </c>
      <c r="C6" s="6"/>
      <c r="D6" s="6"/>
      <c r="E6" s="6"/>
      <c r="F6" s="6"/>
    </row>
    <row r="7" spans="1:6" ht="18" customHeight="1" x14ac:dyDescent="0.3">
      <c r="A7" s="2"/>
      <c r="B7" s="11" t="s">
        <v>101</v>
      </c>
      <c r="C7" s="6"/>
      <c r="D7" s="6"/>
      <c r="E7" s="6"/>
      <c r="F7" s="6"/>
    </row>
    <row r="8" spans="1:6" ht="18" customHeight="1" x14ac:dyDescent="0.3">
      <c r="A8" s="2"/>
      <c r="B8" s="11" t="s">
        <v>102</v>
      </c>
      <c r="C8" s="6"/>
      <c r="D8" s="6"/>
      <c r="E8" s="6"/>
      <c r="F8" s="6"/>
    </row>
    <row r="9" spans="1:6" ht="18" customHeight="1" x14ac:dyDescent="0.3">
      <c r="A9" s="2"/>
      <c r="B9" s="11" t="s">
        <v>103</v>
      </c>
      <c r="C9" s="6"/>
      <c r="D9" s="6"/>
      <c r="E9" s="6"/>
      <c r="F9" s="6"/>
    </row>
    <row r="10" spans="1:6" ht="18" customHeight="1" x14ac:dyDescent="0.3">
      <c r="A10" s="2"/>
      <c r="B10" s="11" t="s">
        <v>104</v>
      </c>
      <c r="C10" s="6"/>
      <c r="D10" s="6"/>
      <c r="E10" s="6"/>
      <c r="F10" s="6"/>
    </row>
    <row r="11" spans="1:6" ht="18" customHeight="1" x14ac:dyDescent="0.3">
      <c r="A11" s="2"/>
      <c r="B11" s="11" t="s">
        <v>105</v>
      </c>
      <c r="C11" s="6"/>
      <c r="D11" s="6"/>
      <c r="E11" s="6"/>
      <c r="F11" s="6"/>
    </row>
    <row r="12" spans="1:6" ht="10.050000000000001" customHeight="1" x14ac:dyDescent="0.3">
      <c r="A12" s="2"/>
      <c r="B12" s="11"/>
      <c r="C12" s="6"/>
      <c r="D12" s="6"/>
      <c r="E12" s="6"/>
      <c r="F12" s="6"/>
    </row>
    <row r="13" spans="1:6" ht="18" customHeight="1" x14ac:dyDescent="0.3">
      <c r="A13" s="4" t="s">
        <v>106</v>
      </c>
      <c r="B13" s="11" t="s">
        <v>107</v>
      </c>
      <c r="C13" s="6"/>
      <c r="D13" s="6"/>
      <c r="E13" s="6"/>
      <c r="F13" s="6"/>
    </row>
    <row r="14" spans="1:6" ht="18" customHeight="1" x14ac:dyDescent="0.3">
      <c r="A14" s="2"/>
      <c r="B14" s="11" t="s">
        <v>108</v>
      </c>
      <c r="C14" s="6"/>
      <c r="D14" s="6"/>
      <c r="E14" s="6"/>
      <c r="F14" s="6"/>
    </row>
    <row r="15" spans="1:6" ht="18" customHeight="1" x14ac:dyDescent="0.3">
      <c r="A15" s="2"/>
      <c r="B15" s="11" t="s">
        <v>109</v>
      </c>
      <c r="C15" s="6"/>
      <c r="D15" s="6"/>
      <c r="E15" s="6"/>
      <c r="F15" s="6"/>
    </row>
    <row r="16" spans="1:6" ht="18" customHeight="1" x14ac:dyDescent="0.3">
      <c r="A16" s="2"/>
      <c r="B16" s="11" t="s">
        <v>110</v>
      </c>
      <c r="C16" s="6"/>
      <c r="D16" s="6"/>
      <c r="E16" s="6"/>
      <c r="F16" s="6"/>
    </row>
    <row r="17" spans="1:6" ht="10.050000000000001" customHeight="1" x14ac:dyDescent="0.3">
      <c r="A17" s="2"/>
      <c r="B17" s="11"/>
      <c r="C17" s="6"/>
      <c r="D17" s="6"/>
      <c r="E17" s="6"/>
      <c r="F17" s="6"/>
    </row>
    <row r="18" spans="1:6" ht="18" customHeight="1" x14ac:dyDescent="0.3">
      <c r="A18" s="4" t="s">
        <v>111</v>
      </c>
      <c r="B18" s="11" t="s">
        <v>112</v>
      </c>
      <c r="C18" s="6"/>
      <c r="D18" s="6"/>
      <c r="E18" s="6"/>
      <c r="F18" s="6"/>
    </row>
    <row r="19" spans="1:6" ht="18" customHeight="1" x14ac:dyDescent="0.3">
      <c r="A19" s="2"/>
      <c r="B19" s="11" t="s">
        <v>113</v>
      </c>
      <c r="C19" s="6"/>
      <c r="D19" s="6"/>
      <c r="E19" s="6"/>
      <c r="F19" s="6"/>
    </row>
    <row r="20" spans="1:6" ht="18" customHeight="1" x14ac:dyDescent="0.3">
      <c r="A20" s="2"/>
      <c r="B20" s="11" t="s">
        <v>114</v>
      </c>
      <c r="C20" s="6"/>
      <c r="D20" s="6"/>
      <c r="E20" s="6"/>
      <c r="F20" s="6"/>
    </row>
    <row r="21" spans="1:6" ht="10.050000000000001" customHeight="1" x14ac:dyDescent="0.3">
      <c r="A21" s="2"/>
      <c r="B21" s="11"/>
      <c r="C21" s="6"/>
      <c r="D21" s="6"/>
      <c r="E21" s="6"/>
      <c r="F21" s="6"/>
    </row>
    <row r="22" spans="1:6" ht="18" customHeight="1" x14ac:dyDescent="0.3">
      <c r="A22" s="4" t="s">
        <v>115</v>
      </c>
      <c r="B22" s="11" t="s">
        <v>116</v>
      </c>
      <c r="C22" s="6"/>
      <c r="D22" s="6"/>
      <c r="E22" s="6"/>
      <c r="F22" s="6"/>
    </row>
    <row r="23" spans="1:6" ht="18" customHeight="1" x14ac:dyDescent="0.3">
      <c r="A23" s="2"/>
      <c r="B23" s="11" t="s">
        <v>117</v>
      </c>
      <c r="C23" s="6"/>
      <c r="D23" s="6"/>
      <c r="E23" s="6"/>
      <c r="F23" s="6"/>
    </row>
    <row r="24" spans="1:6" ht="10.050000000000001" customHeight="1" x14ac:dyDescent="0.3">
      <c r="A24" s="2"/>
      <c r="B24" s="11"/>
      <c r="C24" s="6"/>
      <c r="D24" s="6"/>
      <c r="E24" s="6"/>
      <c r="F24" s="6"/>
    </row>
    <row r="25" spans="1:6" ht="18" customHeight="1" x14ac:dyDescent="0.3">
      <c r="A25" s="4" t="s">
        <v>118</v>
      </c>
      <c r="B25" s="11" t="s">
        <v>119</v>
      </c>
      <c r="C25" s="6"/>
      <c r="D25" s="6"/>
      <c r="E25" s="6"/>
      <c r="F25" s="6"/>
    </row>
    <row r="26" spans="1:6" ht="18" customHeight="1" x14ac:dyDescent="0.3">
      <c r="A26" s="2"/>
      <c r="B26" s="11" t="s">
        <v>120</v>
      </c>
      <c r="C26" s="6"/>
      <c r="D26" s="6"/>
      <c r="E26" s="6"/>
      <c r="F26" s="6"/>
    </row>
  </sheetData>
  <mergeCells count="26">
    <mergeCell ref="A1:F1"/>
    <mergeCell ref="B5:F5"/>
    <mergeCell ref="B26:F26"/>
    <mergeCell ref="B2:F2"/>
    <mergeCell ref="B11:F11"/>
    <mergeCell ref="B23:F23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4:F4"/>
    <mergeCell ref="B7:F7"/>
    <mergeCell ref="B16:F16"/>
    <mergeCell ref="B25:F25"/>
    <mergeCell ref="B3:F3"/>
    <mergeCell ref="B22:F22"/>
    <mergeCell ref="B18:F18"/>
    <mergeCell ref="B21:F21"/>
    <mergeCell ref="B12:F12"/>
    <mergeCell ref="B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Еженедельный отчёт</vt:lpstr>
      <vt:lpstr>Продуктовые метрики</vt:lpstr>
      <vt:lpstr>Стадии и гестация</vt:lpstr>
      <vt:lpstr>Сводка по больницам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2026-06-22T11:47:06Z</dcterms:created>
  <dcterms:modified xsi:type="dcterms:W3CDTF">2026-06-22T12:47:56Z</dcterms:modified>
</cp:coreProperties>
</file>